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產能概況" sheetId="1" state="visible" r:id="rId1"/>
    <sheet xmlns:r="http://schemas.openxmlformats.org/officeDocument/2006/relationships" name="出貨明細" sheetId="2" state="visible" r:id="rId2"/>
    <sheet xmlns:r="http://schemas.openxmlformats.org/officeDocument/2006/relationships" name="說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各廠月產能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'產能概況'!$B$5</f>
            </strRef>
          </tx>
          <spPr>
            <a:ln xmlns:a="http://schemas.openxmlformats.org/drawingml/2006/main">
              <a:prstDash val="solid"/>
            </a:ln>
          </spPr>
          <cat>
            <numRef>
              <f>'產能概況'!$C$4:$H$4</f>
            </numRef>
          </cat>
          <val>
            <numRef>
              <f>'產能概況'!$C$5:$H$5</f>
            </numRef>
          </val>
        </ser>
        <ser>
          <idx val="1"/>
          <order val="1"/>
          <tx>
            <strRef>
              <f>'產能概況'!$B$6</f>
            </strRef>
          </tx>
          <spPr>
            <a:ln xmlns:a="http://schemas.openxmlformats.org/drawingml/2006/main">
              <a:prstDash val="solid"/>
            </a:ln>
          </spPr>
          <cat>
            <numRef>
              <f>'產能概況'!$C$4:$H$4</f>
            </numRef>
          </cat>
          <val>
            <numRef>
              <f>'產能概況'!$C$6:$H$6</f>
            </numRef>
          </val>
        </ser>
        <ser>
          <idx val="2"/>
          <order val="2"/>
          <tx>
            <strRef>
              <f>'產能概況'!$B$7</f>
            </strRef>
          </tx>
          <spPr>
            <a:ln xmlns:a="http://schemas.openxmlformats.org/drawingml/2006/main">
              <a:prstDash val="solid"/>
            </a:ln>
          </spPr>
          <cat>
            <numRef>
              <f>'產能概況'!$C$4:$H$4</f>
            </numRef>
          </cat>
          <val>
            <numRef>
              <f>'產能概況'!$C$7:$H$7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稼動率趨勢</a:t>
            </a:r>
          </a:p>
        </rich>
      </tx>
    </title>
    <plotArea>
      <lineChart>
        <grouping val="standard"/>
        <ser>
          <idx val="0"/>
          <order val="0"/>
          <tx>
            <strRef>
              <f>'產能概況'!$B$14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'產能概況'!$C$13:$H$13</f>
            </numRef>
          </cat>
          <val>
            <numRef>
              <f>'產能概況'!$C$14:$H$14</f>
            </numRef>
          </val>
        </ser>
        <ser>
          <idx val="1"/>
          <order val="1"/>
          <tx>
            <strRef>
              <f>'產能概況'!$B$15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'產能概況'!$C$13:$H$13</f>
            </numRef>
          </cat>
          <val>
            <numRef>
              <f>'產能概況'!$C$15:$H$15</f>
            </numRef>
          </val>
        </ser>
        <ser>
          <idx val="2"/>
          <order val="2"/>
          <tx>
            <strRef>
              <f>'產能概況'!$B$16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'產能概況'!$C$13:$H$13</f>
            </numRef>
          </cat>
          <val>
            <numRef>
              <f>'產能概況'!$C$16:$H$16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A廠產能與稼動率</a:t>
            </a:r>
          </a:p>
        </rich>
      </tx>
    </title>
    <plotArea>
      <lineChart>
        <grouping val="standard"/>
        <ser>
          <idx val="0"/>
          <order val="0"/>
          <tx>
            <strRef>
              <f>'產能概況'!$B$5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'產能概況'!$C$4:$H$4</f>
            </numRef>
          </cat>
          <val>
            <numRef>
              <f>'產能概況'!$C$5:$H$5</f>
            </numRef>
          </val>
        </ser>
        <ser>
          <idx val="1"/>
          <order val="1"/>
          <tx>
            <strRef>
              <f>'產能概況'!$B$14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'產能概況'!$C$4:$H$4</f>
            </numRef>
          </cat>
          <val>
            <numRef>
              <f>'產能概況'!$C$14:$H$14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客戶別出貨量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'出貨明細'!$H$2</f>
            </strRef>
          </tx>
          <spPr>
            <a:ln xmlns:a="http://schemas.openxmlformats.org/drawingml/2006/main">
              <a:prstDash val="solid"/>
            </a:ln>
          </spPr>
          <cat>
            <numRef>
              <f>'出貨明細'!$G$3:$G$6</f>
            </numRef>
          </cat>
          <val>
            <numRef>
              <f>'出貨明細'!$H$3:$H$6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36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hipTable" displayName="ShipTable" ref="A1:E41" headerRowCount="1">
  <autoFilter ref="A1:E41"/>
  <tableColumns count="5">
    <tableColumn id="1" name="日期"/>
    <tableColumn id="2" name="客戶"/>
    <tableColumn id="3" name="產品"/>
    <tableColumn id="4" name="數量"/>
    <tableColumn id="5" name="金額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 上半年產能概況</t>
        </is>
      </c>
    </row>
    <row r="3">
      <c r="B3" s="2" t="inlineStr">
        <is>
          <t>表一 各廠月產能（千片）</t>
        </is>
      </c>
    </row>
    <row r="4">
      <c r="B4" t="inlineStr">
        <is>
          <t>廠區</t>
        </is>
      </c>
      <c r="C4" t="inlineStr">
        <is>
          <t>1月</t>
        </is>
      </c>
      <c r="D4" t="inlineStr">
        <is>
          <t>2月</t>
        </is>
      </c>
      <c r="E4" t="inlineStr">
        <is>
          <t>3月</t>
        </is>
      </c>
      <c r="F4" t="inlineStr">
        <is>
          <t>4月</t>
        </is>
      </c>
      <c r="G4" t="inlineStr">
        <is>
          <t>5月</t>
        </is>
      </c>
      <c r="H4" t="inlineStr">
        <is>
          <t>6月</t>
        </is>
      </c>
    </row>
    <row r="5">
      <c r="B5" t="inlineStr">
        <is>
          <t>A廠</t>
        </is>
      </c>
      <c r="C5" t="n">
        <v>126</v>
      </c>
      <c r="D5" t="n">
        <v>114</v>
      </c>
      <c r="E5" t="n">
        <v>91</v>
      </c>
      <c r="F5" t="n">
        <v>123</v>
      </c>
      <c r="G5" t="n">
        <v>129</v>
      </c>
      <c r="H5" t="n">
        <v>89</v>
      </c>
    </row>
    <row r="6">
      <c r="B6" t="inlineStr">
        <is>
          <t>B廠</t>
        </is>
      </c>
      <c r="C6" t="n">
        <v>131</v>
      </c>
      <c r="D6" t="n">
        <v>110</v>
      </c>
      <c r="E6" t="n">
        <v>117</v>
      </c>
      <c r="F6" t="n">
        <v>112</v>
      </c>
      <c r="G6" t="n">
        <v>101</v>
      </c>
      <c r="H6" t="n">
        <v>120</v>
      </c>
    </row>
    <row r="7">
      <c r="B7" t="inlineStr">
        <is>
          <t>C廠</t>
        </is>
      </c>
      <c r="C7" t="n">
        <v>102</v>
      </c>
      <c r="D7" t="n">
        <v>100</v>
      </c>
      <c r="E7" t="n">
        <v>113</v>
      </c>
      <c r="F7" t="n">
        <v>102</v>
      </c>
      <c r="G7" t="n">
        <v>130</v>
      </c>
      <c r="H7" t="n">
        <v>89</v>
      </c>
    </row>
    <row r="8">
      <c r="B8" t="inlineStr">
        <is>
          <t>合計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</row>
    <row r="10">
      <c r="B10" t="inlineStr">
        <is>
          <t>註：C廠 3 月歲修停機一週。</t>
        </is>
      </c>
    </row>
    <row r="12">
      <c r="B12" t="inlineStr">
        <is>
          <t>表二 稼動率（%）</t>
        </is>
      </c>
    </row>
    <row r="13">
      <c r="B13" t="inlineStr">
        <is>
          <t>廠區</t>
        </is>
      </c>
      <c r="C13" t="inlineStr">
        <is>
          <t>1月</t>
        </is>
      </c>
      <c r="D13" t="inlineStr">
        <is>
          <t>2月</t>
        </is>
      </c>
      <c r="E13" t="inlineStr">
        <is>
          <t>3月</t>
        </is>
      </c>
      <c r="F13" t="inlineStr">
        <is>
          <t>4月</t>
        </is>
      </c>
      <c r="G13" t="inlineStr">
        <is>
          <t>5月</t>
        </is>
      </c>
      <c r="H13" t="inlineStr">
        <is>
          <t>6月</t>
        </is>
      </c>
    </row>
    <row r="14">
      <c r="B14" t="inlineStr">
        <is>
          <t>A廠</t>
        </is>
      </c>
      <c r="C14" t="n">
        <v>96.2</v>
      </c>
      <c r="D14" t="n">
        <v>82.2</v>
      </c>
      <c r="E14" t="n">
        <v>78.7</v>
      </c>
      <c r="F14" t="n">
        <v>82.40000000000001</v>
      </c>
      <c r="G14" t="n">
        <v>77.59999999999999</v>
      </c>
      <c r="H14" t="n">
        <v>71.7</v>
      </c>
    </row>
    <row r="15">
      <c r="B15" t="inlineStr">
        <is>
          <t>B廠</t>
        </is>
      </c>
      <c r="C15" t="n">
        <v>93.5</v>
      </c>
      <c r="D15" t="n">
        <v>89.7</v>
      </c>
      <c r="E15" t="n">
        <v>97.3</v>
      </c>
      <c r="F15" t="n">
        <v>84.09999999999999</v>
      </c>
      <c r="G15" t="n">
        <v>87.5</v>
      </c>
      <c r="H15" t="n">
        <v>87.5</v>
      </c>
    </row>
    <row r="16">
      <c r="B16" t="inlineStr">
        <is>
          <t>C廠</t>
        </is>
      </c>
      <c r="C16" t="n">
        <v>78.8</v>
      </c>
      <c r="D16" t="n">
        <v>77.40000000000001</v>
      </c>
      <c r="E16" t="n">
        <v>81.8</v>
      </c>
      <c r="F16" t="n">
        <v>75.59999999999999</v>
      </c>
      <c r="G16" t="n">
        <v>72.09999999999999</v>
      </c>
      <c r="H16" t="n">
        <v>79.40000000000001</v>
      </c>
    </row>
  </sheetData>
  <mergeCells count="2">
    <mergeCell ref="A1:F1"/>
    <mergeCell ref="B3:F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客戶</t>
        </is>
      </c>
      <c r="C1" t="inlineStr">
        <is>
          <t>產品</t>
        </is>
      </c>
      <c r="D1" t="inlineStr">
        <is>
          <t>數量</t>
        </is>
      </c>
      <c r="E1" t="inlineStr">
        <is>
          <t>金額</t>
        </is>
      </c>
      <c r="G1" t="inlineStr">
        <is>
          <t>客戶別出貨合計</t>
        </is>
      </c>
    </row>
    <row r="2">
      <c r="A2" s="3" t="n">
        <v>46027</v>
      </c>
      <c r="B2" t="inlineStr">
        <is>
          <t>好鄰居超商</t>
        </is>
      </c>
      <c r="C2" t="inlineStr">
        <is>
          <t>55吋模組</t>
        </is>
      </c>
      <c r="D2" t="n">
        <v>106</v>
      </c>
      <c r="E2" t="n">
        <v>127200</v>
      </c>
      <c r="G2" t="inlineStr">
        <is>
          <t>客戶</t>
        </is>
      </c>
      <c r="H2" t="inlineStr">
        <is>
          <t>數量</t>
        </is>
      </c>
    </row>
    <row r="3">
      <c r="A3" s="3" t="n">
        <v>46031</v>
      </c>
      <c r="B3" t="inlineStr">
        <is>
          <t>北辰汽車</t>
        </is>
      </c>
      <c r="C3" t="inlineStr">
        <is>
          <t>車用 12.3吋</t>
        </is>
      </c>
      <c r="D3" t="n">
        <v>56</v>
      </c>
      <c r="E3" t="n">
        <v>67200</v>
      </c>
      <c r="G3" t="inlineStr">
        <is>
          <t>好鄰居超商</t>
        </is>
      </c>
      <c r="H3">
        <f>SUMIF($B$2:$B$41,G3,$D$2:$D$41)</f>
        <v/>
      </c>
    </row>
    <row r="4">
      <c r="A4" s="3" t="n">
        <v>46035</v>
      </c>
      <c r="B4" t="inlineStr">
        <is>
          <t>東嶺電機</t>
        </is>
      </c>
      <c r="C4" t="inlineStr">
        <is>
          <t>55吋模組</t>
        </is>
      </c>
      <c r="D4" t="n">
        <v>239</v>
      </c>
      <c r="E4" t="n">
        <v>442150</v>
      </c>
      <c r="G4" t="inlineStr">
        <is>
          <t>北辰汽車</t>
        </is>
      </c>
      <c r="H4">
        <f>SUMIF($B$2:$B$41,G4,$D$2:$D$41)</f>
        <v/>
      </c>
    </row>
    <row r="5">
      <c r="A5" s="3" t="n">
        <v>46039</v>
      </c>
      <c r="B5" t="inlineStr">
        <is>
          <t>南灣零售</t>
        </is>
      </c>
      <c r="C5" t="inlineStr">
        <is>
          <t>55吋模組</t>
        </is>
      </c>
      <c r="D5" t="n">
        <v>111</v>
      </c>
      <c r="E5" t="n">
        <v>205350</v>
      </c>
      <c r="G5" t="inlineStr">
        <is>
          <t>東嶺電機</t>
        </is>
      </c>
      <c r="H5">
        <f>SUMIF($B$2:$B$41,G5,$D$2:$D$41)</f>
        <v/>
      </c>
    </row>
    <row r="6">
      <c r="A6" s="3" t="n">
        <v>46043</v>
      </c>
      <c r="B6" t="inlineStr">
        <is>
          <t>好鄰居超商</t>
        </is>
      </c>
      <c r="C6" t="inlineStr">
        <is>
          <t>32吋模組</t>
        </is>
      </c>
      <c r="D6" t="n">
        <v>96</v>
      </c>
      <c r="E6" t="n">
        <v>115200</v>
      </c>
      <c r="G6" t="inlineStr">
        <is>
          <t>南灣零售</t>
        </is>
      </c>
      <c r="H6">
        <f>SUMIF($B$2:$B$41,G6,$D$2:$D$41)</f>
        <v/>
      </c>
    </row>
    <row r="7">
      <c r="A7" s="3" t="n">
        <v>46047</v>
      </c>
      <c r="B7" t="inlineStr">
        <is>
          <t>北辰汽車</t>
        </is>
      </c>
      <c r="C7" t="inlineStr">
        <is>
          <t>車用 12.3吋</t>
        </is>
      </c>
      <c r="D7" t="n">
        <v>474</v>
      </c>
      <c r="E7" t="n">
        <v>876900</v>
      </c>
    </row>
    <row r="8">
      <c r="A8" s="3" t="n">
        <v>46051</v>
      </c>
      <c r="B8" t="inlineStr">
        <is>
          <t>東嶺電機</t>
        </is>
      </c>
      <c r="C8" t="inlineStr">
        <is>
          <t>32吋模組</t>
        </is>
      </c>
      <c r="D8" t="n">
        <v>235</v>
      </c>
      <c r="E8" t="n">
        <v>434750</v>
      </c>
    </row>
    <row r="9">
      <c r="A9" s="3" t="n">
        <v>46055</v>
      </c>
      <c r="B9" t="inlineStr">
        <is>
          <t>南灣零售</t>
        </is>
      </c>
      <c r="C9" t="inlineStr">
        <is>
          <t>車用 12.3吋</t>
        </is>
      </c>
      <c r="D9" t="n">
        <v>482</v>
      </c>
      <c r="E9" t="n">
        <v>578400</v>
      </c>
    </row>
    <row r="10">
      <c r="A10" s="3" t="n">
        <v>46059</v>
      </c>
      <c r="B10" t="inlineStr">
        <is>
          <t>好鄰居超商</t>
        </is>
      </c>
      <c r="C10" t="inlineStr">
        <is>
          <t>32吋模組</t>
        </is>
      </c>
      <c r="D10" t="n">
        <v>79</v>
      </c>
      <c r="E10" t="n">
        <v>94800</v>
      </c>
    </row>
    <row r="11">
      <c r="A11" s="3" t="n">
        <v>46063</v>
      </c>
      <c r="B11" t="inlineStr">
        <is>
          <t>北辰汽車</t>
        </is>
      </c>
      <c r="C11" t="inlineStr">
        <is>
          <t>車用 12.3吋</t>
        </is>
      </c>
      <c r="D11" t="n">
        <v>201</v>
      </c>
      <c r="E11" t="n">
        <v>522600</v>
      </c>
    </row>
    <row r="12">
      <c r="A12" s="3" t="n">
        <v>46067</v>
      </c>
      <c r="B12" t="inlineStr">
        <is>
          <t>東嶺電機</t>
        </is>
      </c>
      <c r="C12" t="inlineStr">
        <is>
          <t>32吋模組</t>
        </is>
      </c>
      <c r="D12" t="n">
        <v>52</v>
      </c>
      <c r="E12" t="n">
        <v>96200</v>
      </c>
    </row>
    <row r="13">
      <c r="A13" s="3" t="n">
        <v>46071</v>
      </c>
      <c r="B13" t="inlineStr">
        <is>
          <t>南灣零售</t>
        </is>
      </c>
      <c r="C13" t="inlineStr">
        <is>
          <t>32吋模組</t>
        </is>
      </c>
      <c r="D13" t="n">
        <v>496</v>
      </c>
      <c r="E13" t="n">
        <v>917600</v>
      </c>
    </row>
    <row r="14">
      <c r="A14" s="3" t="n">
        <v>46075</v>
      </c>
      <c r="B14" t="inlineStr">
        <is>
          <t>好鄰居超商</t>
        </is>
      </c>
      <c r="C14" t="inlineStr">
        <is>
          <t>車用 12.3吋</t>
        </is>
      </c>
      <c r="D14" t="n">
        <v>326</v>
      </c>
      <c r="E14" t="n">
        <v>847600</v>
      </c>
    </row>
    <row r="15">
      <c r="A15" s="3" t="n">
        <v>46079</v>
      </c>
      <c r="B15" t="inlineStr">
        <is>
          <t>北辰汽車</t>
        </is>
      </c>
      <c r="C15" t="inlineStr">
        <is>
          <t>車用 12.3吋</t>
        </is>
      </c>
      <c r="D15" t="n">
        <v>301</v>
      </c>
      <c r="E15" t="n">
        <v>361200</v>
      </c>
    </row>
    <row r="16">
      <c r="A16" s="3" t="n">
        <v>46083</v>
      </c>
      <c r="B16" t="inlineStr">
        <is>
          <t>東嶺電機</t>
        </is>
      </c>
      <c r="C16" t="inlineStr">
        <is>
          <t>55吋模組</t>
        </is>
      </c>
      <c r="D16" t="n">
        <v>459</v>
      </c>
      <c r="E16" t="n">
        <v>550800</v>
      </c>
    </row>
    <row r="17">
      <c r="A17" s="3" t="n">
        <v>46087</v>
      </c>
      <c r="B17" t="inlineStr">
        <is>
          <t>南灣零售</t>
        </is>
      </c>
      <c r="C17" t="inlineStr">
        <is>
          <t>32吋模組</t>
        </is>
      </c>
      <c r="D17" t="n">
        <v>184</v>
      </c>
      <c r="E17" t="n">
        <v>220800</v>
      </c>
    </row>
    <row r="18">
      <c r="A18" s="3" t="n">
        <v>46091</v>
      </c>
      <c r="B18" t="inlineStr">
        <is>
          <t>好鄰居超商</t>
        </is>
      </c>
      <c r="C18" t="inlineStr">
        <is>
          <t>車用 12.3吋</t>
        </is>
      </c>
      <c r="D18" t="n">
        <v>439</v>
      </c>
      <c r="E18" t="n">
        <v>812150</v>
      </c>
    </row>
    <row r="19">
      <c r="A19" s="3" t="n">
        <v>46095</v>
      </c>
      <c r="B19" t="inlineStr">
        <is>
          <t>北辰汽車</t>
        </is>
      </c>
      <c r="C19" t="inlineStr">
        <is>
          <t>32吋模組</t>
        </is>
      </c>
      <c r="D19" t="n">
        <v>402</v>
      </c>
      <c r="E19" t="n">
        <v>482400</v>
      </c>
    </row>
    <row r="20">
      <c r="A20" s="3" t="n">
        <v>46099</v>
      </c>
      <c r="B20" t="inlineStr">
        <is>
          <t>東嶺電機</t>
        </is>
      </c>
      <c r="C20" t="inlineStr">
        <is>
          <t>車用 12.3吋</t>
        </is>
      </c>
      <c r="D20" t="n">
        <v>55</v>
      </c>
      <c r="E20" t="n">
        <v>66000</v>
      </c>
    </row>
    <row r="21">
      <c r="A21" s="3" t="n">
        <v>46103</v>
      </c>
      <c r="B21" t="inlineStr">
        <is>
          <t>南灣零售</t>
        </is>
      </c>
      <c r="C21" t="inlineStr">
        <is>
          <t>車用 12.3吋</t>
        </is>
      </c>
      <c r="D21" t="n">
        <v>159</v>
      </c>
      <c r="E21" t="n">
        <v>294150</v>
      </c>
    </row>
    <row r="22">
      <c r="A22" s="3" t="n">
        <v>46107</v>
      </c>
      <c r="B22" t="inlineStr">
        <is>
          <t>好鄰居超商</t>
        </is>
      </c>
      <c r="C22" t="inlineStr">
        <is>
          <t>32吋模組</t>
        </is>
      </c>
      <c r="D22" t="n">
        <v>403</v>
      </c>
      <c r="E22" t="n">
        <v>745550</v>
      </c>
    </row>
    <row r="23">
      <c r="A23" s="3" t="n">
        <v>46111</v>
      </c>
      <c r="B23" t="inlineStr">
        <is>
          <t>北辰汽車</t>
        </is>
      </c>
      <c r="C23" t="inlineStr">
        <is>
          <t>32吋模組</t>
        </is>
      </c>
      <c r="D23" t="n">
        <v>194</v>
      </c>
      <c r="E23" t="n">
        <v>232800</v>
      </c>
    </row>
    <row r="24">
      <c r="A24" s="3" t="n">
        <v>46115</v>
      </c>
      <c r="B24" t="inlineStr">
        <is>
          <t>東嶺電機</t>
        </is>
      </c>
      <c r="C24" t="inlineStr">
        <is>
          <t>32吋模組</t>
        </is>
      </c>
      <c r="D24" t="n">
        <v>125</v>
      </c>
      <c r="E24" t="n">
        <v>325000</v>
      </c>
    </row>
    <row r="25">
      <c r="A25" s="3" t="n">
        <v>46119</v>
      </c>
      <c r="B25" t="inlineStr">
        <is>
          <t>南灣零售</t>
        </is>
      </c>
      <c r="C25" t="inlineStr">
        <is>
          <t>車用 12.3吋</t>
        </is>
      </c>
      <c r="D25" t="n">
        <v>347</v>
      </c>
      <c r="E25" t="n">
        <v>416400</v>
      </c>
    </row>
    <row r="26">
      <c r="A26" s="3" t="n">
        <v>46123</v>
      </c>
      <c r="B26" t="inlineStr">
        <is>
          <t>好鄰居超商</t>
        </is>
      </c>
      <c r="C26" t="inlineStr">
        <is>
          <t>32吋模組</t>
        </is>
      </c>
      <c r="D26" t="n">
        <v>173</v>
      </c>
      <c r="E26" t="n">
        <v>449800</v>
      </c>
    </row>
    <row r="27">
      <c r="A27" s="3" t="n">
        <v>46127</v>
      </c>
      <c r="B27" t="inlineStr">
        <is>
          <t>北辰汽車</t>
        </is>
      </c>
      <c r="C27" t="inlineStr">
        <is>
          <t>55吋模組</t>
        </is>
      </c>
      <c r="D27" t="n">
        <v>158</v>
      </c>
      <c r="E27" t="n">
        <v>410800</v>
      </c>
    </row>
    <row r="28">
      <c r="A28" s="3" t="n">
        <v>46131</v>
      </c>
      <c r="B28" t="inlineStr">
        <is>
          <t>東嶺電機</t>
        </is>
      </c>
      <c r="C28" t="inlineStr">
        <is>
          <t>55吋模組</t>
        </is>
      </c>
      <c r="D28" t="n">
        <v>493</v>
      </c>
      <c r="E28" t="n">
        <v>1281800</v>
      </c>
    </row>
    <row r="29">
      <c r="A29" s="3" t="n">
        <v>46135</v>
      </c>
      <c r="B29" t="inlineStr">
        <is>
          <t>南灣零售</t>
        </is>
      </c>
      <c r="C29" t="inlineStr">
        <is>
          <t>車用 12.3吋</t>
        </is>
      </c>
      <c r="D29" t="n">
        <v>126</v>
      </c>
      <c r="E29" t="n">
        <v>151200</v>
      </c>
    </row>
    <row r="30">
      <c r="A30" s="3" t="n">
        <v>46139</v>
      </c>
      <c r="B30" t="inlineStr">
        <is>
          <t>好鄰居超商</t>
        </is>
      </c>
      <c r="C30" t="inlineStr">
        <is>
          <t>32吋模組</t>
        </is>
      </c>
      <c r="D30" t="n">
        <v>122</v>
      </c>
      <c r="E30" t="n">
        <v>146400</v>
      </c>
    </row>
    <row r="31">
      <c r="A31" s="3" t="n">
        <v>46143</v>
      </c>
      <c r="B31" t="inlineStr">
        <is>
          <t>北辰汽車</t>
        </is>
      </c>
      <c r="C31" t="inlineStr">
        <is>
          <t>車用 12.3吋</t>
        </is>
      </c>
      <c r="D31" t="n">
        <v>282</v>
      </c>
      <c r="E31" t="n">
        <v>733200</v>
      </c>
    </row>
    <row r="32">
      <c r="A32" s="3" t="n">
        <v>46147</v>
      </c>
      <c r="B32" t="inlineStr">
        <is>
          <t>東嶺電機</t>
        </is>
      </c>
      <c r="C32" t="inlineStr">
        <is>
          <t>55吋模組</t>
        </is>
      </c>
      <c r="D32" t="n">
        <v>291</v>
      </c>
      <c r="E32" t="n">
        <v>756600</v>
      </c>
    </row>
    <row r="33">
      <c r="A33" s="3" t="n">
        <v>46151</v>
      </c>
      <c r="B33" t="inlineStr">
        <is>
          <t>南灣零售</t>
        </is>
      </c>
      <c r="C33" t="inlineStr">
        <is>
          <t>車用 12.3吋</t>
        </is>
      </c>
      <c r="D33" t="n">
        <v>286</v>
      </c>
      <c r="E33" t="n">
        <v>743600</v>
      </c>
    </row>
    <row r="34">
      <c r="A34" s="3" t="n">
        <v>46155</v>
      </c>
      <c r="B34" t="inlineStr">
        <is>
          <t>好鄰居超商</t>
        </is>
      </c>
      <c r="C34" t="inlineStr">
        <is>
          <t>32吋模組</t>
        </is>
      </c>
      <c r="D34" t="n">
        <v>472</v>
      </c>
      <c r="E34" t="n">
        <v>873200</v>
      </c>
    </row>
    <row r="35">
      <c r="A35" s="3" t="n">
        <v>46159</v>
      </c>
      <c r="B35" t="inlineStr">
        <is>
          <t>北辰汽車</t>
        </is>
      </c>
      <c r="C35" t="inlineStr">
        <is>
          <t>車用 12.3吋</t>
        </is>
      </c>
      <c r="D35" t="n">
        <v>497</v>
      </c>
      <c r="E35" t="n">
        <v>919450</v>
      </c>
    </row>
    <row r="36">
      <c r="A36" s="3" t="n">
        <v>46163</v>
      </c>
      <c r="B36" t="inlineStr">
        <is>
          <t>東嶺電機</t>
        </is>
      </c>
      <c r="C36" t="inlineStr">
        <is>
          <t>55吋模組</t>
        </is>
      </c>
      <c r="D36" t="n">
        <v>455</v>
      </c>
      <c r="E36" t="n">
        <v>841750</v>
      </c>
    </row>
    <row r="37">
      <c r="A37" s="3" t="n">
        <v>46167</v>
      </c>
      <c r="B37" t="inlineStr">
        <is>
          <t>南灣零售</t>
        </is>
      </c>
      <c r="C37" t="inlineStr">
        <is>
          <t>55吋模組</t>
        </is>
      </c>
      <c r="D37" t="n">
        <v>163</v>
      </c>
      <c r="E37" t="n">
        <v>195600</v>
      </c>
    </row>
    <row r="38">
      <c r="A38" s="3" t="n">
        <v>46171</v>
      </c>
      <c r="B38" t="inlineStr">
        <is>
          <t>好鄰居超商</t>
        </is>
      </c>
      <c r="C38" t="inlineStr">
        <is>
          <t>55吋模組</t>
        </is>
      </c>
      <c r="D38" t="n">
        <v>459</v>
      </c>
      <c r="E38" t="n">
        <v>849150</v>
      </c>
    </row>
    <row r="39">
      <c r="A39" s="3" t="n">
        <v>46175</v>
      </c>
      <c r="B39" t="inlineStr">
        <is>
          <t>北辰汽車</t>
        </is>
      </c>
      <c r="C39" t="inlineStr">
        <is>
          <t>55吋模組</t>
        </is>
      </c>
      <c r="D39" t="n">
        <v>241</v>
      </c>
      <c r="E39" t="n">
        <v>626600</v>
      </c>
    </row>
    <row r="40">
      <c r="A40" s="3" t="n">
        <v>46179</v>
      </c>
      <c r="B40" t="inlineStr">
        <is>
          <t>東嶺電機</t>
        </is>
      </c>
      <c r="C40" t="inlineStr">
        <is>
          <t>55吋模組</t>
        </is>
      </c>
      <c r="D40" t="n">
        <v>126</v>
      </c>
      <c r="E40" t="n">
        <v>233100</v>
      </c>
    </row>
    <row r="41">
      <c r="A41" s="3" t="n">
        <v>46183</v>
      </c>
      <c r="B41" t="inlineStr">
        <is>
          <t>南灣零售</t>
        </is>
      </c>
      <c r="C41" t="inlineStr">
        <is>
          <t>55吋模組</t>
        </is>
      </c>
      <c r="D41" t="n">
        <v>302</v>
      </c>
      <c r="E41" t="n">
        <v>558700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資料來源說明</t>
        </is>
      </c>
    </row>
    <row r="2">
      <c r="A2" t="inlineStr">
        <is>
          <t>產能資料由各廠每月 5 日前回報。</t>
        </is>
      </c>
    </row>
    <row r="3">
      <c r="A3" t="inlineStr">
        <is>
          <t>出貨明細取自出貨系統，金額單位為新台幣元。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ADS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2026-10-14T01:53:54Z</dcterms:modified>
</cp:coreProperties>
</file>